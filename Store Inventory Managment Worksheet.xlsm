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y Data Analytics Project PortFolio\1. Excel Project\"/>
    </mc:Choice>
  </mc:AlternateContent>
  <xr:revisionPtr revIDLastSave="0" documentId="13_ncr:1_{17891171-19A6-4C33-BF74-9F99B29697D9}" xr6:coauthVersionLast="47" xr6:coauthVersionMax="47" xr10:uidLastSave="{00000000-0000-0000-0000-000000000000}"/>
  <bookViews>
    <workbookView xWindow="-120" yWindow="-120" windowWidth="20730" windowHeight="11040" xr2:uid="{8D432732-7C11-4583-BDC0-0F0E6DE1E7B1}"/>
  </bookViews>
  <sheets>
    <sheet name="Bill Entry" sheetId="1" r:id="rId1"/>
    <sheet name="Purchase Entry" sheetId="2" r:id="rId2"/>
    <sheet name="Sale Entry" sheetId="3" r:id="rId3"/>
    <sheet name="Stock Sheet" sheetId="4" r:id="rId4"/>
  </sheets>
  <definedNames>
    <definedName name="_xlnm._FilterDatabase" localSheetId="1" hidden="1">'Purchase Entry'!$D:$D</definedName>
    <definedName name="_xlnm.Criteria" localSheetId="3">'Stock Sheet'!$G$6:$G$7</definedName>
    <definedName name="_xlnm.Extract" localSheetId="3">'Stock Sheet'!$A$1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3" l="1"/>
  <c r="G13" i="2"/>
  <c r="G13" i="3"/>
  <c r="G12" i="2"/>
  <c r="G12" i="3"/>
  <c r="G11" i="2"/>
  <c r="G10" i="2"/>
  <c r="G9" i="2"/>
  <c r="G11" i="3"/>
  <c r="G10" i="3"/>
  <c r="G8" i="2"/>
  <c r="C2" i="4"/>
  <c r="C3" i="4"/>
  <c r="C4" i="4"/>
  <c r="C5" i="4"/>
  <c r="C6" i="4"/>
  <c r="C7" i="4"/>
  <c r="C8" i="4"/>
  <c r="B2" i="4"/>
  <c r="B3" i="4"/>
  <c r="B4" i="4"/>
  <c r="B5" i="4"/>
  <c r="B6" i="4"/>
  <c r="B7" i="4"/>
  <c r="B8" i="4"/>
  <c r="G7" i="4"/>
  <c r="G9" i="3"/>
  <c r="G8" i="3"/>
  <c r="G7" i="3"/>
  <c r="G6" i="3"/>
  <c r="G5" i="3"/>
  <c r="G4" i="3"/>
  <c r="G7" i="2"/>
  <c r="G6" i="2"/>
  <c r="G5" i="2"/>
  <c r="G4" i="2"/>
  <c r="G3" i="2"/>
  <c r="G2" i="2"/>
  <c r="G14" i="2"/>
  <c r="G3" i="3"/>
  <c r="G2" i="3"/>
  <c r="G15" i="3"/>
  <c r="D12" i="1"/>
  <c r="G5" i="1"/>
  <c r="C8" i="1"/>
  <c r="I4" i="4" l="1"/>
  <c r="D7" i="4"/>
  <c r="D3" i="4"/>
  <c r="D6" i="4"/>
  <c r="D2" i="4"/>
  <c r="I5" i="4"/>
  <c r="D8" i="4"/>
  <c r="D4" i="4"/>
  <c r="D5" i="4"/>
  <c r="I6" i="4" l="1"/>
</calcChain>
</file>

<file path=xl/sharedStrings.xml><?xml version="1.0" encoding="utf-8"?>
<sst xmlns="http://schemas.openxmlformats.org/spreadsheetml/2006/main" count="96" uniqueCount="38">
  <si>
    <t>Entry Type</t>
  </si>
  <si>
    <t>Last Entry</t>
  </si>
  <si>
    <t>ABC Electronic Store                                                                                                        - Stock Purchase and Sale Sheet</t>
  </si>
  <si>
    <t>Invoice No.</t>
  </si>
  <si>
    <t>Date</t>
  </si>
  <si>
    <t>Customer</t>
  </si>
  <si>
    <t>Qty</t>
  </si>
  <si>
    <t>Rate</t>
  </si>
  <si>
    <t>Total Amt.</t>
  </si>
  <si>
    <t>Product</t>
  </si>
  <si>
    <t>Vendor</t>
  </si>
  <si>
    <t>Purchase Qty</t>
  </si>
  <si>
    <t>Sale Qty</t>
  </si>
  <si>
    <t>Remaining Qty</t>
  </si>
  <si>
    <t>Rahul</t>
  </si>
  <si>
    <t>Keyboard</t>
  </si>
  <si>
    <t>CPU</t>
  </si>
  <si>
    <t>Harish</t>
  </si>
  <si>
    <t>Mouse</t>
  </si>
  <si>
    <t>Jai Choudhary</t>
  </si>
  <si>
    <t>Danny</t>
  </si>
  <si>
    <t>Speaker</t>
  </si>
  <si>
    <t>Laptop</t>
  </si>
  <si>
    <t>Desktop</t>
  </si>
  <si>
    <t>Harsh</t>
  </si>
  <si>
    <t>Vishal</t>
  </si>
  <si>
    <t>Anshu</t>
  </si>
  <si>
    <t>Particular</t>
  </si>
  <si>
    <t>Amt.</t>
  </si>
  <si>
    <t>Invested in Stock</t>
  </si>
  <si>
    <t>Revenue</t>
  </si>
  <si>
    <t>Profit/Loss</t>
  </si>
  <si>
    <t>Sahid</t>
  </si>
  <si>
    <t>Manish</t>
  </si>
  <si>
    <t>Sale</t>
  </si>
  <si>
    <t>Ankush</t>
  </si>
  <si>
    <t>Rohit</t>
  </si>
  <si>
    <t>Neha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</si>
</sst>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₹-439]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4" borderId="0" xfId="0" applyFont="1" applyFill="1" applyAlignment="1">
      <alignment horizontal="center"/>
    </xf>
    <xf numFmtId="0" fontId="3" fillId="5" borderId="1" xfId="0" applyFont="1" applyFill="1" applyBorder="1" applyAlignment="1">
      <alignment horizontal="left" indent="1"/>
    </xf>
    <xf numFmtId="0" fontId="2" fillId="6" borderId="1" xfId="0" applyFont="1" applyFill="1" applyBorder="1" applyAlignment="1">
      <alignment horizontal="left" indent="1"/>
    </xf>
    <xf numFmtId="164" fontId="2" fillId="6" borderId="1" xfId="0" applyNumberFormat="1" applyFont="1" applyFill="1" applyBorder="1" applyAlignment="1">
      <alignment horizontal="left" indent="1"/>
    </xf>
    <xf numFmtId="165" fontId="2" fillId="6" borderId="1" xfId="0" applyNumberFormat="1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1" xfId="0" applyFont="1" applyFill="1" applyBorder="1" applyAlignment="1">
      <alignment horizontal="left" indent="1"/>
    </xf>
    <xf numFmtId="164" fontId="0" fillId="6" borderId="1" xfId="0" applyNumberFormat="1" applyFont="1" applyFill="1" applyBorder="1" applyAlignment="1">
      <alignment horizontal="left" indent="1"/>
    </xf>
    <xf numFmtId="165" fontId="0" fillId="6" borderId="1" xfId="0" applyNumberFormat="1" applyFont="1" applyFill="1" applyBorder="1" applyAlignment="1">
      <alignment horizontal="left" indent="1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5" fontId="0" fillId="6" borderId="1" xfId="0" applyNumberFormat="1" applyFill="1" applyBorder="1" applyAlignment="1">
      <alignment horizontal="left" vertical="center" indent="1"/>
    </xf>
    <xf numFmtId="0" fontId="2" fillId="8" borderId="1" xfId="0" applyFont="1" applyFill="1" applyBorder="1" applyAlignment="1">
      <alignment horizontal="left" indent="1"/>
    </xf>
    <xf numFmtId="165" fontId="3" fillId="6" borderId="1" xfId="0" applyNumberFormat="1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13">
    <dxf>
      <font>
        <color rgb="FFFF0000"/>
      </font>
    </dxf>
    <dxf>
      <font>
        <color rgb="FF00B050"/>
      </font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numFmt numFmtId="165" formatCode="[$₹-439]#,##0.00"/>
    </dxf>
    <dxf>
      <numFmt numFmtId="165" formatCode="[$₹-439]#,##0.00"/>
    </dxf>
    <dxf>
      <numFmt numFmtId="164" formatCode="[$-409]d\-mmm\-yy;@"/>
    </dxf>
    <dxf>
      <alignment horizontal="center" vertical="bottom" textRotation="0" wrapText="0" indent="0" justifyLastLine="0" shrinkToFit="0" readingOrder="0"/>
    </dxf>
    <dxf>
      <numFmt numFmtId="165" formatCode="[$₹-43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Stock Availability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'Stock Sheet'!$B$1</c:f>
              <c:strCache>
                <c:ptCount val="1"/>
                <c:pt idx="0">
                  <c:v>Purchase Qty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'Stock Sheet'!$A$2:$A$8</c:f>
              <c:strCache>
                <c:ptCount val="7"/>
                <c:pt idx="0">
                  <c:v>Keyboard</c:v>
                </c:pt>
                <c:pt idx="1">
                  <c:v>Mouse</c:v>
                </c:pt>
                <c:pt idx="2">
                  <c:v>CPU</c:v>
                </c:pt>
                <c:pt idx="3">
                  <c:v>Speaker</c:v>
                </c:pt>
                <c:pt idx="4">
                  <c:v>Laptop</c:v>
                </c:pt>
                <c:pt idx="5">
                  <c:v>Desktop</c:v>
                </c:pt>
                <c:pt idx="6">
                  <c:v>Mouse</c:v>
                </c:pt>
              </c:strCache>
            </c:strRef>
          </c:cat>
          <c:val>
            <c:numRef>
              <c:f>'Stock Sheet'!$B$2:$B$8</c:f>
              <c:numCache>
                <c:formatCode>General</c:formatCode>
                <c:ptCount val="7"/>
                <c:pt idx="0">
                  <c:v>20</c:v>
                </c:pt>
                <c:pt idx="1">
                  <c:v>60</c:v>
                </c:pt>
                <c:pt idx="2">
                  <c:v>22</c:v>
                </c:pt>
                <c:pt idx="3">
                  <c:v>15</c:v>
                </c:pt>
                <c:pt idx="4">
                  <c:v>23</c:v>
                </c:pt>
                <c:pt idx="5">
                  <c:v>17</c:v>
                </c:pt>
                <c:pt idx="6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D-49CD-AE10-B4C59F75B123}"/>
            </c:ext>
          </c:extLst>
        </c:ser>
        <c:ser>
          <c:idx val="1"/>
          <c:order val="1"/>
          <c:tx>
            <c:strRef>
              <c:f>'Stock Sheet'!$C$1</c:f>
              <c:strCache>
                <c:ptCount val="1"/>
                <c:pt idx="0">
                  <c:v>Sale Qty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'Stock Sheet'!$A$2:$A$8</c:f>
              <c:strCache>
                <c:ptCount val="7"/>
                <c:pt idx="0">
                  <c:v>Keyboard</c:v>
                </c:pt>
                <c:pt idx="1">
                  <c:v>Mouse</c:v>
                </c:pt>
                <c:pt idx="2">
                  <c:v>CPU</c:v>
                </c:pt>
                <c:pt idx="3">
                  <c:v>Speaker</c:v>
                </c:pt>
                <c:pt idx="4">
                  <c:v>Laptop</c:v>
                </c:pt>
                <c:pt idx="5">
                  <c:v>Desktop</c:v>
                </c:pt>
                <c:pt idx="6">
                  <c:v>Mouse</c:v>
                </c:pt>
              </c:strCache>
            </c:strRef>
          </c:cat>
          <c:val>
            <c:numRef>
              <c:f>'Stock Sheet'!$C$2:$C$8</c:f>
              <c:numCache>
                <c:formatCode>General</c:formatCode>
                <c:ptCount val="7"/>
                <c:pt idx="0">
                  <c:v>10</c:v>
                </c:pt>
                <c:pt idx="1">
                  <c:v>33</c:v>
                </c:pt>
                <c:pt idx="2">
                  <c:v>6</c:v>
                </c:pt>
                <c:pt idx="3">
                  <c:v>5</c:v>
                </c:pt>
                <c:pt idx="4">
                  <c:v>15</c:v>
                </c:pt>
                <c:pt idx="5">
                  <c:v>13</c:v>
                </c:pt>
                <c:pt idx="6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D-49CD-AE10-B4C59F75B123}"/>
            </c:ext>
          </c:extLst>
        </c:ser>
        <c:ser>
          <c:idx val="2"/>
          <c:order val="2"/>
          <c:tx>
            <c:strRef>
              <c:f>'Stock Sheet'!$D$1</c:f>
              <c:strCache>
                <c:ptCount val="1"/>
                <c:pt idx="0">
                  <c:v>Remaining Qty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'Stock Sheet'!$A$2:$A$8</c:f>
              <c:strCache>
                <c:ptCount val="7"/>
                <c:pt idx="0">
                  <c:v>Keyboard</c:v>
                </c:pt>
                <c:pt idx="1">
                  <c:v>Mouse</c:v>
                </c:pt>
                <c:pt idx="2">
                  <c:v>CPU</c:v>
                </c:pt>
                <c:pt idx="3">
                  <c:v>Speaker</c:v>
                </c:pt>
                <c:pt idx="4">
                  <c:v>Laptop</c:v>
                </c:pt>
                <c:pt idx="5">
                  <c:v>Desktop</c:v>
                </c:pt>
                <c:pt idx="6">
                  <c:v>Mouse</c:v>
                </c:pt>
              </c:strCache>
            </c:strRef>
          </c:cat>
          <c:val>
            <c:numRef>
              <c:f>'Stock Sheet'!$D$2:$D$8</c:f>
              <c:numCache>
                <c:formatCode>General</c:formatCode>
                <c:ptCount val="7"/>
                <c:pt idx="0">
                  <c:v>10</c:v>
                </c:pt>
                <c:pt idx="1">
                  <c:v>27</c:v>
                </c:pt>
                <c:pt idx="2">
                  <c:v>16</c:v>
                </c:pt>
                <c:pt idx="3">
                  <c:v>10</c:v>
                </c:pt>
                <c:pt idx="4">
                  <c:v>8</c:v>
                </c:pt>
                <c:pt idx="5">
                  <c:v>4</c:v>
                </c:pt>
                <c:pt idx="6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DD-49CD-AE10-B4C59F75B1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0246255"/>
        <c:axId val="1000240015"/>
      </c:barChart>
      <c:catAx>
        <c:axId val="100024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240015"/>
        <c:crosses val="autoZero"/>
        <c:auto val="1"/>
        <c:lblAlgn val="ctr"/>
        <c:lblOffset val="100"/>
        <c:noMultiLvlLbl val="0"/>
      </c:catAx>
      <c:valAx>
        <c:axId val="100024001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0024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952501</xdr:colOff>
      <xdr:row>12</xdr:row>
      <xdr:rowOff>176212</xdr:rowOff>
    </xdr:from>
    <xdr:to>
      <xdr:col>3</xdr:col>
      <xdr:colOff>1</xdr:colOff>
      <xdr:row>14</xdr:row>
      <xdr:rowOff>180975</xdr:rowOff>
    </xdr:to>
    <xdr:sp macro="[0]!Purchase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1BF897-D5DE-405D-B866-EDA73C1A5611}"/>
            </a:ext>
          </a:extLst>
        </xdr:cNvPr>
        <xdr:cNvSpPr/>
      </xdr:nvSpPr>
      <xdr:spPr>
        <a:xfrm>
          <a:off x="1562101" y="2576512"/>
          <a:ext cx="1123950" cy="385763"/>
        </a:xfrm>
        <a:prstGeom prst="roundRect">
          <a:avLst>
            <a:gd name="adj" fmla="val 8334"/>
          </a:avLst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Purchase Entry</a:t>
          </a:r>
        </a:p>
      </xdr:txBody>
    </xdr:sp>
    <xdr:clientData/>
  </xdr:twoCellAnchor>
  <xdr:twoCellAnchor>
    <xdr:from>
      <xdr:col>3</xdr:col>
      <xdr:colOff>9526</xdr:colOff>
      <xdr:row>12</xdr:row>
      <xdr:rowOff>176212</xdr:rowOff>
    </xdr:from>
    <xdr:to>
      <xdr:col>4</xdr:col>
      <xdr:colOff>19051</xdr:colOff>
      <xdr:row>14</xdr:row>
      <xdr:rowOff>180975</xdr:rowOff>
    </xdr:to>
    <xdr:sp macro="[0]!Sale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B99D8B-A48C-47EE-BD8A-D0C2BD9D49CF}"/>
            </a:ext>
          </a:extLst>
        </xdr:cNvPr>
        <xdr:cNvSpPr/>
      </xdr:nvSpPr>
      <xdr:spPr>
        <a:xfrm>
          <a:off x="2695576" y="2576512"/>
          <a:ext cx="1123950" cy="385763"/>
        </a:xfrm>
        <a:prstGeom prst="roundRect">
          <a:avLst>
            <a:gd name="adj" fmla="val 8334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Sale Entry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3</xdr:row>
      <xdr:rowOff>9525</xdr:rowOff>
    </xdr:from>
    <xdr:to>
      <xdr:col>12</xdr:col>
      <xdr:colOff>590550</xdr:colOff>
      <xdr:row>4</xdr:row>
      <xdr:rowOff>161925</xdr:rowOff>
    </xdr:to>
    <xdr:sp macro="[0]!Refresh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52A593-C964-41E2-B46B-63EF8E82A37A}"/>
            </a:ext>
          </a:extLst>
        </xdr:cNvPr>
        <xdr:cNvSpPr/>
      </xdr:nvSpPr>
      <xdr:spPr>
        <a:xfrm>
          <a:off x="5724525" y="581025"/>
          <a:ext cx="1190625" cy="3429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Refresh Sheet</a:t>
          </a:r>
          <a:endParaRPr lang="en-US" sz="1100" b="1"/>
        </a:p>
      </xdr:txBody>
    </xdr:sp>
    <xdr:clientData/>
  </xdr:twoCellAnchor>
  <xdr:twoCellAnchor>
    <xdr:from>
      <xdr:col>4</xdr:col>
      <xdr:colOff>95250</xdr:colOff>
      <xdr:row>7</xdr:row>
      <xdr:rowOff>42862</xdr:rowOff>
    </xdr:from>
    <xdr:to>
      <xdr:col>10</xdr:col>
      <xdr:colOff>590550</xdr:colOff>
      <xdr:row>21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66AF75-25C0-41C3-BF2B-BF675D2AF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7EE686-960C-415C-A5B3-8C13A48B328D}" name="Table4" displayName="Table4" ref="A1:G14" totalsRowShown="0">
  <sortState xmlns:xlrd2="http://schemas.microsoft.com/office/spreadsheetml/2017/richdata2" ref="A2:G14">
    <sortCondition ref="A1:A14"/>
  </sortState>
  <tableColumns count="7">
    <tableColumn id="1" xr3:uid="{E7D092BC-25E9-4EC8-BF80-E6A360B0F123}" name="Invoice No."/>
    <tableColumn id="2" xr3:uid="{1582954E-A751-4EF5-A0F5-A720CADA635D}" name="Date"/>
    <tableColumn id="3" xr3:uid="{B96044DA-0739-4148-B42A-3BEECB6739C6}" name="Vendor"/>
    <tableColumn id="4" xr3:uid="{7108C7F4-1610-480C-94A2-DD4F4A4E6F4F}" name="Product"/>
    <tableColumn id="5" xr3:uid="{AF02A392-EE6C-4D37-81EE-1EB15749BB5D}" name="Qty"/>
    <tableColumn id="6" xr3:uid="{94E4E96E-D0A5-496E-8B9F-8AF40CEAE9CC}" name="Rate"/>
    <tableColumn id="7" xr3:uid="{6DB8A25B-C853-4233-ACA5-5D4EA2555E7D}" name="Total Amt." dataDxfId="12">
      <calculatedColumnFormula>E2*F2</calculatedColumnFormula>
    </tableColumn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61CAD-A1FC-4464-BCDA-0E976123AE98}" name="Table2" displayName="Table2" ref="A1:G15" totalsRowShown="0" headerRowDxfId="11">
  <autoFilter ref="A1:G15" xr:uid="{ED761CAD-A1FC-4464-BCDA-0E976123AE98}"/>
  <sortState xmlns:xlrd2="http://schemas.microsoft.com/office/spreadsheetml/2017/richdata2" ref="A2:G15">
    <sortCondition ref="A1:A15"/>
  </sortState>
  <tableColumns count="7">
    <tableColumn id="1" xr3:uid="{7AE4DC77-B9FA-4AF9-A19B-D040977DFE64}" name="Invoice No."/>
    <tableColumn id="2" xr3:uid="{A8A06D8E-390F-4E08-8646-15969352D4A0}" name="Date" dataDxfId="10"/>
    <tableColumn id="3" xr3:uid="{0743F5E8-BB5F-4A75-8AB0-A35BF0129967}" name="Customer"/>
    <tableColumn id="4" xr3:uid="{E6222F92-099A-4353-8479-1EDF7835DF4B}" name="Product"/>
    <tableColumn id="5" xr3:uid="{44835479-8D9E-446D-9E6D-E550C2678282}" name="Qty"/>
    <tableColumn id="6" xr3:uid="{B2F8C05D-EF2C-4D6C-8F27-86B7B1161BDE}" name="Rate" dataDxfId="9"/>
    <tableColumn id="7" xr3:uid="{46246EAF-068D-45B3-AA99-0ECB893E8D5E}" name="Total Amt." dataDxfId="8">
      <calculatedColumnFormula>E2*F2</calculatedColumnFormula>
    </tableColumn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B06964-66EC-4C4E-A8EB-09AE0A2611D7}" name="Table5" displayName="Table5" ref="A1:D18" totalsRowShown="0" headerRowDxfId="7" headerRowBorderDxfId="6" tableBorderDxfId="5">
  <autoFilter ref="A1:D18" xr:uid="{B7B06964-66EC-4C4E-A8EB-09AE0A2611D7}"/>
  <tableColumns count="4">
    <tableColumn id="1" xr3:uid="{3F7ED482-49CB-4FD0-979E-AC6762F85E09}" name="Product"/>
    <tableColumn id="2" xr3:uid="{DA05AC16-1AD5-4B2B-8BD9-21924B50F59E}" name="Purchase Qty" dataDxfId="4">
      <calculatedColumnFormula>SUMIF('Purchase Entry'!D:D,Table5[[#This Row],[Product]],'Purchase Entry'!E:E)</calculatedColumnFormula>
    </tableColumn>
    <tableColumn id="3" xr3:uid="{02D6C8A7-23FC-43CA-9488-D045386EF6C7}" name="Sale Qty" dataDxfId="3">
      <calculatedColumnFormula>SUMIF('Sale Entry'!D:D,Table5[[#This Row],[Product]],'Sale Entry'!E:E)</calculatedColumnFormula>
    </tableColumn>
    <tableColumn id="4" xr3:uid="{4912D0DF-389A-448C-8A1D-6B9CF4794032}" name="Remaining Qty" dataDxfId="2">
      <calculatedColumnFormula>Table5[[#This Row],[Purchase Qty]]-Table5[[#This Row],[Sale Qty]]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8D02D-3BF3-4509-965E-901BD3E7ED00}">
  <sheetPr>
    <tabColor theme="4" tint="-0.499984740745262"/>
  </sheetPr>
  <dimension ref="A1:H12"/>
  <sheetViews>
    <sheetView tabSelected="1" zoomScale="145" zoomScaleNormal="145" workbookViewId="0">
      <selection activeCell="C5" sqref="C5:D5"/>
    </sheetView>
  </sheetViews>
  <sheetFormatPr defaultRowHeight="15" x14ac:dyDescent="0.25"/>
  <cols>
    <col min="2" max="2" width="14.42578125" customWidth="1"/>
    <col min="3" max="4" width="16.7109375" customWidth="1"/>
    <col min="6" max="6" width="14" customWidth="1"/>
    <col min="7" max="7" width="14.42578125" customWidth="1"/>
  </cols>
  <sheetData>
    <row r="1" spans="1:8" x14ac:dyDescent="0.25">
      <c r="A1" s="23" t="s">
        <v>2</v>
      </c>
      <c r="B1" s="23"/>
      <c r="C1" s="23"/>
      <c r="D1" s="23"/>
      <c r="E1" s="23"/>
      <c r="F1" s="23"/>
      <c r="G1" s="23"/>
      <c r="H1" s="23"/>
    </row>
    <row r="2" spans="1:8" x14ac:dyDescent="0.25">
      <c r="A2" s="23"/>
      <c r="B2" s="23"/>
      <c r="C2" s="23"/>
      <c r="D2" s="23"/>
      <c r="E2" s="23"/>
      <c r="F2" s="23"/>
      <c r="G2" s="23"/>
      <c r="H2" s="23"/>
    </row>
    <row r="3" spans="1:8" x14ac:dyDescent="0.25">
      <c r="A3" s="23"/>
      <c r="B3" s="23"/>
      <c r="C3" s="23"/>
      <c r="D3" s="23"/>
      <c r="E3" s="23"/>
      <c r="F3" s="23"/>
      <c r="G3" s="23"/>
      <c r="H3" s="23"/>
    </row>
    <row r="5" spans="1:8" ht="18.75" x14ac:dyDescent="0.3">
      <c r="B5" s="2" t="s">
        <v>0</v>
      </c>
      <c r="C5" s="24" t="s">
        <v>34</v>
      </c>
      <c r="D5" s="24"/>
      <c r="E5" s="3"/>
      <c r="F5" s="2" t="s">
        <v>1</v>
      </c>
      <c r="G5" s="4">
        <f>IF($C$5="Sale",MAX('Sale Entry'!A:A),MAX('Purchase Entry'!A:A))</f>
        <v>113</v>
      </c>
    </row>
    <row r="6" spans="1:8" ht="15.75" x14ac:dyDescent="0.25">
      <c r="C6" s="5" t="s">
        <v>3</v>
      </c>
      <c r="D6" s="6"/>
    </row>
    <row r="7" spans="1:8" ht="15.75" x14ac:dyDescent="0.25">
      <c r="C7" s="5" t="s">
        <v>4</v>
      </c>
      <c r="D7" s="7"/>
    </row>
    <row r="8" spans="1:8" ht="15.75" x14ac:dyDescent="0.25">
      <c r="C8" s="5" t="str">
        <f>IF($C$5="Sale","Customer","Vendor")</f>
        <v>Customer</v>
      </c>
      <c r="D8" s="7"/>
    </row>
    <row r="9" spans="1:8" ht="15.75" x14ac:dyDescent="0.25">
      <c r="C9" s="5" t="s">
        <v>9</v>
      </c>
      <c r="D9" s="6"/>
    </row>
    <row r="10" spans="1:8" ht="15.75" x14ac:dyDescent="0.25">
      <c r="C10" s="5" t="s">
        <v>6</v>
      </c>
      <c r="D10" s="6"/>
    </row>
    <row r="11" spans="1:8" ht="15.75" x14ac:dyDescent="0.25">
      <c r="C11" s="5" t="s">
        <v>7</v>
      </c>
      <c r="D11" s="8"/>
    </row>
    <row r="12" spans="1:8" ht="15.75" x14ac:dyDescent="0.25">
      <c r="C12" s="5" t="s">
        <v>8</v>
      </c>
      <c r="D12" s="8">
        <f>D10*D11</f>
        <v>0</v>
      </c>
    </row>
  </sheetData>
  <mergeCells count="2">
    <mergeCell ref="A1:H3"/>
    <mergeCell ref="C5:D5"/>
  </mergeCells>
  <dataValidations count="2">
    <dataValidation type="list" allowBlank="1" showInputMessage="1" showErrorMessage="1" sqref="C5:D5" xr:uid="{3AD3AC99-9B00-4FF7-B4BE-7746712EC30E}">
      <formula1>"Purchase, Sale"</formula1>
    </dataValidation>
    <dataValidation type="list" allowBlank="1" showInputMessage="1" showErrorMessage="1" sqref="D9" xr:uid="{DA2084FE-09A8-4F9E-BB84-D227B22D04D5}">
      <formula1>"Keyboard, Mouse, CPU, Speaker, Laptop, Desktop"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A4010-2190-4242-BE39-E9E06127A419}">
  <sheetPr>
    <tabColor rgb="FFC00000"/>
  </sheetPr>
  <dimension ref="A1:G14"/>
  <sheetViews>
    <sheetView zoomScale="160" zoomScaleNormal="160" workbookViewId="0">
      <selection activeCell="A2" sqref="A2:G2"/>
    </sheetView>
  </sheetViews>
  <sheetFormatPr defaultRowHeight="15" x14ac:dyDescent="0.25"/>
  <cols>
    <col min="1" max="1" width="13.140625" customWidth="1"/>
    <col min="2" max="2" width="11.85546875" customWidth="1"/>
    <col min="3" max="3" width="12.42578125" customWidth="1"/>
    <col min="4" max="4" width="11.7109375" customWidth="1"/>
    <col min="5" max="5" width="11.28515625" customWidth="1"/>
    <col min="6" max="6" width="11.5703125" bestFit="1" customWidth="1"/>
    <col min="7" max="7" width="13" customWidth="1"/>
  </cols>
  <sheetData>
    <row r="1" spans="1:7" x14ac:dyDescent="0.25">
      <c r="A1" t="s">
        <v>3</v>
      </c>
      <c r="B1" t="s">
        <v>4</v>
      </c>
      <c r="C1" t="s">
        <v>10</v>
      </c>
      <c r="D1" t="s">
        <v>9</v>
      </c>
      <c r="E1" t="s">
        <v>6</v>
      </c>
      <c r="F1" t="s">
        <v>7</v>
      </c>
      <c r="G1" t="s">
        <v>8</v>
      </c>
    </row>
    <row r="2" spans="1:7" x14ac:dyDescent="0.25">
      <c r="A2" s="13">
        <v>101</v>
      </c>
      <c r="B2" s="14">
        <v>45299</v>
      </c>
      <c r="C2" s="13" t="s">
        <v>14</v>
      </c>
      <c r="D2" s="13" t="s">
        <v>15</v>
      </c>
      <c r="E2" s="13">
        <v>20</v>
      </c>
      <c r="F2" s="15">
        <v>230</v>
      </c>
      <c r="G2" s="15">
        <f>E2*F2</f>
        <v>4600</v>
      </c>
    </row>
    <row r="3" spans="1:7" x14ac:dyDescent="0.25">
      <c r="A3" s="13">
        <v>102</v>
      </c>
      <c r="B3" s="14">
        <v>45299</v>
      </c>
      <c r="C3" s="13" t="s">
        <v>20</v>
      </c>
      <c r="D3" s="13" t="s">
        <v>18</v>
      </c>
      <c r="E3" s="13">
        <v>30</v>
      </c>
      <c r="F3" s="15">
        <v>120</v>
      </c>
      <c r="G3" s="15">
        <f>E3*F3</f>
        <v>3600</v>
      </c>
    </row>
    <row r="4" spans="1:7" x14ac:dyDescent="0.25">
      <c r="A4" s="13">
        <v>103</v>
      </c>
      <c r="B4" s="14">
        <v>45299</v>
      </c>
      <c r="C4" s="13" t="s">
        <v>14</v>
      </c>
      <c r="D4" s="13" t="s">
        <v>16</v>
      </c>
      <c r="E4" s="13">
        <v>12</v>
      </c>
      <c r="F4" s="15">
        <v>2400</v>
      </c>
      <c r="G4" s="15">
        <f>E4*F4</f>
        <v>28800</v>
      </c>
    </row>
    <row r="5" spans="1:7" x14ac:dyDescent="0.25">
      <c r="A5" s="13">
        <v>104</v>
      </c>
      <c r="B5" s="14">
        <v>45299</v>
      </c>
      <c r="C5" s="13" t="s">
        <v>14</v>
      </c>
      <c r="D5" s="13" t="s">
        <v>21</v>
      </c>
      <c r="E5" s="13">
        <v>15</v>
      </c>
      <c r="F5" s="15">
        <v>900</v>
      </c>
      <c r="G5" s="15">
        <f>E5*F5</f>
        <v>13500</v>
      </c>
    </row>
    <row r="6" spans="1:7" x14ac:dyDescent="0.25">
      <c r="A6" s="13">
        <v>105</v>
      </c>
      <c r="B6" s="14">
        <v>45300</v>
      </c>
      <c r="C6" s="13" t="s">
        <v>14</v>
      </c>
      <c r="D6" s="13" t="s">
        <v>22</v>
      </c>
      <c r="E6" s="13">
        <v>13</v>
      </c>
      <c r="F6" s="15">
        <v>12000</v>
      </c>
      <c r="G6" s="15">
        <f>E6*F6</f>
        <v>156000</v>
      </c>
    </row>
    <row r="7" spans="1:7" x14ac:dyDescent="0.25">
      <c r="A7" s="13">
        <v>106</v>
      </c>
      <c r="B7" s="14">
        <v>45300</v>
      </c>
      <c r="C7" s="13" t="s">
        <v>20</v>
      </c>
      <c r="D7" s="13" t="s">
        <v>23</v>
      </c>
      <c r="E7" s="13">
        <v>15</v>
      </c>
      <c r="F7" s="15">
        <v>10000</v>
      </c>
      <c r="G7" s="15">
        <f>E7*F7</f>
        <v>150000</v>
      </c>
    </row>
    <row r="8" spans="1:7" x14ac:dyDescent="0.25">
      <c r="A8" s="13">
        <v>107</v>
      </c>
      <c r="B8" s="14">
        <v>45300</v>
      </c>
      <c r="C8" s="13" t="s">
        <v>14</v>
      </c>
      <c r="D8" s="13" t="s">
        <v>18</v>
      </c>
      <c r="E8" s="13">
        <v>25</v>
      </c>
      <c r="F8" s="15">
        <v>120</v>
      </c>
      <c r="G8" s="15">
        <f>E8*F8</f>
        <v>3000</v>
      </c>
    </row>
    <row r="9" spans="1:7" x14ac:dyDescent="0.25">
      <c r="A9" s="13">
        <v>108</v>
      </c>
      <c r="B9" s="14">
        <v>45302</v>
      </c>
      <c r="C9" s="14" t="s">
        <v>26</v>
      </c>
      <c r="D9" s="13" t="s">
        <v>22</v>
      </c>
      <c r="E9" s="13">
        <v>5</v>
      </c>
      <c r="F9" s="15">
        <v>11000</v>
      </c>
      <c r="G9" s="15">
        <f>E9*F9</f>
        <v>55000</v>
      </c>
    </row>
    <row r="10" spans="1:7" x14ac:dyDescent="0.25">
      <c r="A10" s="13">
        <v>109</v>
      </c>
      <c r="B10" s="14">
        <v>45303</v>
      </c>
      <c r="C10" s="14" t="s">
        <v>26</v>
      </c>
      <c r="D10" s="13" t="s">
        <v>23</v>
      </c>
      <c r="E10" s="13">
        <v>2</v>
      </c>
      <c r="F10" s="15">
        <v>10000</v>
      </c>
      <c r="G10" s="15">
        <f>E10*F10</f>
        <v>20000</v>
      </c>
    </row>
    <row r="11" spans="1:7" x14ac:dyDescent="0.25">
      <c r="A11" s="13">
        <v>110</v>
      </c>
      <c r="B11" s="14">
        <v>45323</v>
      </c>
      <c r="C11" s="14" t="s">
        <v>33</v>
      </c>
      <c r="D11" s="13" t="s">
        <v>16</v>
      </c>
      <c r="E11" s="13">
        <v>10</v>
      </c>
      <c r="F11" s="15">
        <v>3000</v>
      </c>
      <c r="G11" s="15">
        <f>E11*F11</f>
        <v>30000</v>
      </c>
    </row>
    <row r="12" spans="1:7" x14ac:dyDescent="0.25">
      <c r="A12" s="13">
        <v>111</v>
      </c>
      <c r="B12" s="14">
        <v>45324</v>
      </c>
      <c r="C12" s="14" t="s">
        <v>36</v>
      </c>
      <c r="D12" s="13" t="s">
        <v>18</v>
      </c>
      <c r="E12" s="13">
        <v>5</v>
      </c>
      <c r="F12" s="15">
        <v>500</v>
      </c>
      <c r="G12" s="15">
        <f>E12*F12</f>
        <v>2500</v>
      </c>
    </row>
    <row r="13" spans="1:7" x14ac:dyDescent="0.25">
      <c r="A13" s="13">
        <v>112</v>
      </c>
      <c r="B13" s="14">
        <v>45325</v>
      </c>
      <c r="C13" s="14" t="s">
        <v>14</v>
      </c>
      <c r="D13" s="13" t="s">
        <v>22</v>
      </c>
      <c r="E13" s="13">
        <v>5</v>
      </c>
      <c r="F13" s="15">
        <v>12000</v>
      </c>
      <c r="G13" s="15">
        <f>E13*F13</f>
        <v>60000</v>
      </c>
    </row>
    <row r="14" spans="1:7" x14ac:dyDescent="0.25">
      <c r="G14" s="10">
        <f>E14*F14</f>
        <v>0</v>
      </c>
    </row>
  </sheetData>
  <dataValidations count="1">
    <dataValidation type="list" allowBlank="1" showInputMessage="1" showErrorMessage="1" sqref="D2:D13" xr:uid="{BF601A57-93E2-43A0-8EF3-5BE643F55E29}">
      <formula1>"Keyboard, Mouse, CPU, Speaker, Laptop, Desktop"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A6E24-3FFF-4F10-824D-14FA98D8BE44}">
  <sheetPr>
    <tabColor rgb="FF00B050"/>
  </sheetPr>
  <dimension ref="A1:G15"/>
  <sheetViews>
    <sheetView zoomScale="145" zoomScaleNormal="145" workbookViewId="0">
      <selection activeCell="A2" sqref="A2:G2"/>
    </sheetView>
  </sheetViews>
  <sheetFormatPr defaultRowHeight="15" x14ac:dyDescent="0.25"/>
  <cols>
    <col min="1" max="1" width="13.140625" customWidth="1"/>
    <col min="2" max="2" width="11.28515625" style="12" customWidth="1"/>
    <col min="3" max="3" width="12.85546875" customWidth="1"/>
    <col min="4" max="4" width="11.5703125" customWidth="1"/>
    <col min="5" max="5" width="10" customWidth="1"/>
    <col min="6" max="6" width="11.85546875" style="10" bestFit="1" customWidth="1"/>
    <col min="7" max="7" width="12.28515625" style="10" customWidth="1"/>
  </cols>
  <sheetData>
    <row r="1" spans="1:7" x14ac:dyDescent="0.25">
      <c r="A1" s="1" t="s">
        <v>3</v>
      </c>
      <c r="B1" s="11" t="s">
        <v>4</v>
      </c>
      <c r="C1" s="1" t="s">
        <v>5</v>
      </c>
      <c r="D1" s="1" t="s">
        <v>9</v>
      </c>
      <c r="E1" s="1" t="s">
        <v>6</v>
      </c>
      <c r="F1" s="9" t="s">
        <v>7</v>
      </c>
      <c r="G1" s="9" t="s">
        <v>8</v>
      </c>
    </row>
    <row r="2" spans="1:7" x14ac:dyDescent="0.25">
      <c r="A2" s="13">
        <v>101</v>
      </c>
      <c r="B2" s="14">
        <v>45299</v>
      </c>
      <c r="C2" s="13" t="s">
        <v>17</v>
      </c>
      <c r="D2" s="13" t="s">
        <v>18</v>
      </c>
      <c r="E2" s="13">
        <v>10</v>
      </c>
      <c r="F2" s="15">
        <v>120</v>
      </c>
      <c r="G2" s="15">
        <f>E2*F2</f>
        <v>1200</v>
      </c>
    </row>
    <row r="3" spans="1:7" x14ac:dyDescent="0.25">
      <c r="A3" s="13">
        <v>102</v>
      </c>
      <c r="B3" s="14">
        <v>45300</v>
      </c>
      <c r="C3" s="13" t="s">
        <v>19</v>
      </c>
      <c r="D3" s="13" t="s">
        <v>18</v>
      </c>
      <c r="E3" s="13">
        <v>10</v>
      </c>
      <c r="F3" s="15">
        <v>250</v>
      </c>
      <c r="G3" s="15">
        <f>E3*F3</f>
        <v>2500</v>
      </c>
    </row>
    <row r="4" spans="1:7" x14ac:dyDescent="0.25">
      <c r="A4" s="13">
        <v>103</v>
      </c>
      <c r="B4" s="14">
        <v>45300</v>
      </c>
      <c r="C4" s="13" t="s">
        <v>24</v>
      </c>
      <c r="D4" s="13" t="s">
        <v>15</v>
      </c>
      <c r="E4" s="13">
        <v>10</v>
      </c>
      <c r="F4" s="15">
        <v>500</v>
      </c>
      <c r="G4" s="15">
        <f>E4*F4</f>
        <v>5000</v>
      </c>
    </row>
    <row r="5" spans="1:7" x14ac:dyDescent="0.25">
      <c r="A5" s="13">
        <v>104</v>
      </c>
      <c r="B5" s="14">
        <v>45300</v>
      </c>
      <c r="C5" s="13" t="s">
        <v>25</v>
      </c>
      <c r="D5" s="13" t="s">
        <v>18</v>
      </c>
      <c r="E5" s="13">
        <v>10</v>
      </c>
      <c r="F5" s="15">
        <v>400</v>
      </c>
      <c r="G5" s="15">
        <f>E5*F5</f>
        <v>4000</v>
      </c>
    </row>
    <row r="6" spans="1:7" x14ac:dyDescent="0.25">
      <c r="A6" s="13">
        <v>105</v>
      </c>
      <c r="B6" s="14">
        <v>45300</v>
      </c>
      <c r="C6" s="13" t="s">
        <v>26</v>
      </c>
      <c r="D6" s="13" t="s">
        <v>16</v>
      </c>
      <c r="E6" s="13">
        <v>3</v>
      </c>
      <c r="F6" s="15">
        <v>3500</v>
      </c>
      <c r="G6" s="15">
        <f>E6*F6</f>
        <v>10500</v>
      </c>
    </row>
    <row r="7" spans="1:7" x14ac:dyDescent="0.25">
      <c r="A7" s="13">
        <v>106</v>
      </c>
      <c r="B7" s="14">
        <v>45300</v>
      </c>
      <c r="C7" s="13" t="s">
        <v>25</v>
      </c>
      <c r="D7" s="13" t="s">
        <v>21</v>
      </c>
      <c r="E7" s="13">
        <v>5</v>
      </c>
      <c r="F7" s="15">
        <v>1500</v>
      </c>
      <c r="G7" s="15">
        <f>E7*F7</f>
        <v>7500</v>
      </c>
    </row>
    <row r="8" spans="1:7" x14ac:dyDescent="0.25">
      <c r="A8" s="13">
        <v>107</v>
      </c>
      <c r="B8" s="14">
        <v>45300</v>
      </c>
      <c r="C8" s="13" t="s">
        <v>24</v>
      </c>
      <c r="D8" s="13" t="s">
        <v>22</v>
      </c>
      <c r="E8" s="13">
        <v>3</v>
      </c>
      <c r="F8" s="15">
        <v>18000</v>
      </c>
      <c r="G8" s="15">
        <f>E8*F8</f>
        <v>54000</v>
      </c>
    </row>
    <row r="9" spans="1:7" x14ac:dyDescent="0.25">
      <c r="A9" s="13">
        <v>108</v>
      </c>
      <c r="B9" s="14">
        <v>45300</v>
      </c>
      <c r="C9" s="13" t="s">
        <v>26</v>
      </c>
      <c r="D9" s="13" t="s">
        <v>23</v>
      </c>
      <c r="E9" s="13">
        <v>4</v>
      </c>
      <c r="F9" s="15">
        <v>17000</v>
      </c>
      <c r="G9" s="15">
        <f>E9*F9</f>
        <v>68000</v>
      </c>
    </row>
    <row r="10" spans="1:7" x14ac:dyDescent="0.25">
      <c r="A10" s="13">
        <v>109</v>
      </c>
      <c r="B10" s="14">
        <v>45301</v>
      </c>
      <c r="C10" s="13" t="s">
        <v>32</v>
      </c>
      <c r="D10" s="13" t="s">
        <v>22</v>
      </c>
      <c r="E10" s="13">
        <v>10</v>
      </c>
      <c r="F10" s="15">
        <v>20000</v>
      </c>
      <c r="G10" s="15">
        <f>E10*F10</f>
        <v>200000</v>
      </c>
    </row>
    <row r="11" spans="1:7" x14ac:dyDescent="0.25">
      <c r="A11" s="13">
        <v>110</v>
      </c>
      <c r="B11" s="14">
        <v>45301</v>
      </c>
      <c r="C11" s="13" t="s">
        <v>32</v>
      </c>
      <c r="D11" s="13" t="s">
        <v>23</v>
      </c>
      <c r="E11" s="13">
        <v>9</v>
      </c>
      <c r="F11" s="15">
        <v>21000</v>
      </c>
      <c r="G11" s="15">
        <f>E11*F11</f>
        <v>189000</v>
      </c>
    </row>
    <row r="12" spans="1:7" x14ac:dyDescent="0.25">
      <c r="A12" s="13">
        <v>111</v>
      </c>
      <c r="B12" s="14">
        <v>45324</v>
      </c>
      <c r="C12" s="14" t="s">
        <v>35</v>
      </c>
      <c r="D12" s="13" t="s">
        <v>16</v>
      </c>
      <c r="E12" s="13">
        <v>3</v>
      </c>
      <c r="F12" s="15">
        <v>6000</v>
      </c>
      <c r="G12" s="15">
        <f>E12*F12</f>
        <v>18000</v>
      </c>
    </row>
    <row r="13" spans="1:7" x14ac:dyDescent="0.25">
      <c r="A13" s="13">
        <v>112</v>
      </c>
      <c r="B13" s="14">
        <v>45324</v>
      </c>
      <c r="C13" s="14" t="s">
        <v>14</v>
      </c>
      <c r="D13" s="13" t="s">
        <v>18</v>
      </c>
      <c r="E13" s="13">
        <v>3</v>
      </c>
      <c r="F13" s="15">
        <v>700</v>
      </c>
      <c r="G13" s="15">
        <f>E13*F13</f>
        <v>2100</v>
      </c>
    </row>
    <row r="14" spans="1:7" x14ac:dyDescent="0.25">
      <c r="A14" s="13">
        <v>113</v>
      </c>
      <c r="B14" s="14">
        <v>45326</v>
      </c>
      <c r="C14" s="14" t="s">
        <v>37</v>
      </c>
      <c r="D14" s="13" t="s">
        <v>22</v>
      </c>
      <c r="E14" s="13">
        <v>2</v>
      </c>
      <c r="F14" s="15">
        <v>25000</v>
      </c>
      <c r="G14" s="15">
        <f>E14*F14</f>
        <v>50000</v>
      </c>
    </row>
    <row r="15" spans="1:7" x14ac:dyDescent="0.25">
      <c r="G15" s="10">
        <f>E15*F15</f>
        <v>0</v>
      </c>
    </row>
  </sheetData>
  <dataValidations count="1">
    <dataValidation type="list" allowBlank="1" showInputMessage="1" showErrorMessage="1" sqref="D2:D14" xr:uid="{85A32D75-3E04-43C8-B636-CDDCD503D663}">
      <formula1>"Keyboard, Mouse, CPU, Speaker, Laptop, Desktop"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BFBA-7A51-46E8-9E57-3A928C47B3B1}">
  <sheetPr>
    <tabColor theme="1" tint="4.9989318521683403E-2"/>
  </sheetPr>
  <dimension ref="A1:I13"/>
  <sheetViews>
    <sheetView zoomScale="115" zoomScaleNormal="115" workbookViewId="0">
      <selection activeCell="I5" sqref="I5"/>
    </sheetView>
  </sheetViews>
  <sheetFormatPr defaultRowHeight="15" x14ac:dyDescent="0.25"/>
  <cols>
    <col min="1" max="1" width="13.85546875" customWidth="1"/>
    <col min="2" max="2" width="14.7109375" customWidth="1"/>
    <col min="3" max="3" width="12.5703125" customWidth="1"/>
    <col min="4" max="4" width="17.140625" customWidth="1"/>
    <col min="7" max="7" width="0" hidden="1" customWidth="1"/>
    <col min="8" max="8" width="18.42578125" customWidth="1"/>
    <col min="9" max="9" width="15.28515625" customWidth="1"/>
  </cols>
  <sheetData>
    <row r="1" spans="1:9" x14ac:dyDescent="0.25">
      <c r="A1" s="16" t="s">
        <v>9</v>
      </c>
      <c r="B1" s="17" t="s">
        <v>11</v>
      </c>
      <c r="C1" s="17" t="s">
        <v>12</v>
      </c>
      <c r="D1" s="18" t="s">
        <v>13</v>
      </c>
    </row>
    <row r="2" spans="1:9" x14ac:dyDescent="0.25">
      <c r="A2" s="13" t="s">
        <v>15</v>
      </c>
      <c r="B2">
        <f>SUMIF('Purchase Entry'!D:D,Table5[[#This Row],[Product]],'Purchase Entry'!E:E)</f>
        <v>20</v>
      </c>
      <c r="C2">
        <f>SUMIF('Sale Entry'!D:D,Table5[[#This Row],[Product]],'Sale Entry'!E:E)</f>
        <v>10</v>
      </c>
      <c r="D2">
        <f>Table5[[#This Row],[Purchase Qty]]-Table5[[#This Row],[Sale Qty]]</f>
        <v>10</v>
      </c>
    </row>
    <row r="3" spans="1:9" x14ac:dyDescent="0.25">
      <c r="A3" s="13" t="s">
        <v>18</v>
      </c>
      <c r="B3">
        <f>SUMIF('Purchase Entry'!D:D,Table5[[#This Row],[Product]],'Purchase Entry'!E:E)</f>
        <v>60</v>
      </c>
      <c r="C3">
        <f>SUMIF('Sale Entry'!D:D,Table5[[#This Row],[Product]],'Sale Entry'!E:E)</f>
        <v>33</v>
      </c>
      <c r="D3">
        <f>Table5[[#This Row],[Purchase Qty]]-Table5[[#This Row],[Sale Qty]]</f>
        <v>27</v>
      </c>
      <c r="H3" s="19" t="s">
        <v>27</v>
      </c>
      <c r="I3" s="19" t="s">
        <v>28</v>
      </c>
    </row>
    <row r="4" spans="1:9" x14ac:dyDescent="0.25">
      <c r="A4" s="13" t="s">
        <v>16</v>
      </c>
      <c r="B4">
        <f>SUMIF('Purchase Entry'!D:D,Table5[[#This Row],[Product]],'Purchase Entry'!E:E)</f>
        <v>22</v>
      </c>
      <c r="C4">
        <f>SUMIF('Sale Entry'!D:D,Table5[[#This Row],[Product]],'Sale Entry'!E:E)</f>
        <v>6</v>
      </c>
      <c r="D4">
        <f>Table5[[#This Row],[Purchase Qty]]-Table5[[#This Row],[Sale Qty]]</f>
        <v>16</v>
      </c>
      <c r="H4" s="21" t="s">
        <v>29</v>
      </c>
      <c r="I4" s="20">
        <f>SUM('Purchase Entry'!G:G)</f>
        <v>527000</v>
      </c>
    </row>
    <row r="5" spans="1:9" x14ac:dyDescent="0.25">
      <c r="A5" s="13" t="s">
        <v>21</v>
      </c>
      <c r="B5">
        <f>SUMIF('Purchase Entry'!D:D,Table5[[#This Row],[Product]],'Purchase Entry'!E:E)</f>
        <v>15</v>
      </c>
      <c r="C5">
        <f>SUMIF('Sale Entry'!D:D,Table5[[#This Row],[Product]],'Sale Entry'!E:E)</f>
        <v>5</v>
      </c>
      <c r="D5">
        <f>Table5[[#This Row],[Purchase Qty]]-Table5[[#This Row],[Sale Qty]]</f>
        <v>10</v>
      </c>
      <c r="H5" s="21" t="s">
        <v>30</v>
      </c>
      <c r="I5" s="20">
        <f>SUM('Sale Entry'!G:G)</f>
        <v>611800</v>
      </c>
    </row>
    <row r="6" spans="1:9" ht="15.75" x14ac:dyDescent="0.25">
      <c r="A6" s="13" t="s">
        <v>22</v>
      </c>
      <c r="B6">
        <f>SUMIF('Purchase Entry'!D:D,Table5[[#This Row],[Product]],'Purchase Entry'!E:E)</f>
        <v>23</v>
      </c>
      <c r="C6">
        <f>SUMIF('Sale Entry'!D:D,Table5[[#This Row],[Product]],'Sale Entry'!E:E)</f>
        <v>15</v>
      </c>
      <c r="D6">
        <f>Table5[[#This Row],[Purchase Qty]]-Table5[[#This Row],[Sale Qty]]</f>
        <v>8</v>
      </c>
      <c r="G6" t="s">
        <v>9</v>
      </c>
      <c r="H6" s="21" t="s">
        <v>31</v>
      </c>
      <c r="I6" s="22">
        <f>I5-I4</f>
        <v>84800</v>
      </c>
    </row>
    <row r="7" spans="1:9" x14ac:dyDescent="0.25">
      <c r="A7" s="13" t="s">
        <v>23</v>
      </c>
      <c r="B7">
        <f>SUMIF('Purchase Entry'!D:D,Table5[[#This Row],[Product]],'Purchase Entry'!E:E)</f>
        <v>17</v>
      </c>
      <c r="C7">
        <f>SUMIF('Sale Entry'!D:D,Table5[[#This Row],[Product]],'Sale Entry'!E:E)</f>
        <v>13</v>
      </c>
      <c r="D7">
        <f>Table5[[#This Row],[Purchase Qty]]-Table5[[#This Row],[Sale Qty]]</f>
        <v>4</v>
      </c>
      <c r="G7" t="str">
        <f>"&lt;&gt;"</f>
        <v>&lt;&gt;</v>
      </c>
    </row>
    <row r="8" spans="1:9" x14ac:dyDescent="0.25">
      <c r="A8" s="13" t="s">
        <v>18</v>
      </c>
      <c r="B8">
        <f>SUMIF('Purchase Entry'!D:D,Table5[[#This Row],[Product]],'Purchase Entry'!E:E)</f>
        <v>60</v>
      </c>
      <c r="C8">
        <f>SUMIF('Sale Entry'!D:D,Table5[[#This Row],[Product]],'Sale Entry'!E:E)</f>
        <v>33</v>
      </c>
      <c r="D8">
        <f>Table5[[#This Row],[Purchase Qty]]-Table5[[#This Row],[Sale Qty]]</f>
        <v>27</v>
      </c>
    </row>
    <row r="9" spans="1:9" x14ac:dyDescent="0.25">
      <c r="A9" s="13" t="s">
        <v>22</v>
      </c>
    </row>
    <row r="10" spans="1:9" x14ac:dyDescent="0.25">
      <c r="A10" s="13" t="s">
        <v>23</v>
      </c>
    </row>
    <row r="11" spans="1:9" x14ac:dyDescent="0.25">
      <c r="A11" s="13" t="s">
        <v>16</v>
      </c>
    </row>
    <row r="12" spans="1:9" x14ac:dyDescent="0.25">
      <c r="A12" s="13" t="s">
        <v>18</v>
      </c>
    </row>
    <row r="13" spans="1:9" x14ac:dyDescent="0.25">
      <c r="A13" s="13" t="s">
        <v>22</v>
      </c>
    </row>
  </sheetData>
  <conditionalFormatting sqref="I6">
    <cfRule type="expression" dxfId="1" priority="1">
      <formula>$I$6&gt;0</formula>
    </cfRule>
    <cfRule type="expression" dxfId="0" priority="2">
      <formula>$I$6&lt;=0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Bill Entry</vt:lpstr>
      <vt:lpstr>Purchase Entry</vt:lpstr>
      <vt:lpstr>Sale Entry</vt:lpstr>
      <vt:lpstr>Stock Sheet</vt:lpstr>
      <vt:lpstr>'Stock Sheet'!Criteria</vt:lpstr>
      <vt:lpstr>'Stock Sheet'!Extract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Ankush Verma</dc:creator>
  <cp:lastModifiedBy>Ankush Verma</cp:lastModifiedBy>
  <dcterms:created xsi:type="dcterms:W3CDTF">2024-01-08T15:33:37Z</dcterms:created>
  <dcterms:modified xsi:type="dcterms:W3CDTF">2024-02-27T05:28:32Z</dcterms:modified>
</cp:coreProperties>
</file>